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on\OneDrive\Desktop\"/>
    </mc:Choice>
  </mc:AlternateContent>
  <xr:revisionPtr revIDLastSave="0" documentId="8_{BF461280-F99D-4194-A736-72252CE7701F}" xr6:coauthVersionLast="37" xr6:coauthVersionMax="37" xr10:uidLastSave="{00000000-0000-0000-0000-000000000000}"/>
  <bookViews>
    <workbookView xWindow="0" yWindow="0" windowWidth="23040" windowHeight="8940" activeTab="2" xr2:uid="{193BCE04-F446-49A8-A799-BB347B7CBF93}"/>
  </bookViews>
  <sheets>
    <sheet name="Project_Data" sheetId="1" r:id="rId1"/>
    <sheet name="KPI_Summary" sheetId="3" r:id="rId2"/>
    <sheet name="Status_Summary" sheetId="4" r:id="rId3"/>
    <sheet name="Cost_Analysis" sheetId="5" r:id="rId4"/>
  </sheet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2" i="5"/>
  <c r="B3" i="5"/>
  <c r="B4" i="5"/>
  <c r="B5" i="5"/>
  <c r="B6" i="5"/>
  <c r="B7" i="5"/>
  <c r="B8" i="5"/>
  <c r="B2" i="5"/>
  <c r="A7" i="5"/>
  <c r="A8" i="5"/>
  <c r="A3" i="5"/>
  <c r="A4" i="5"/>
  <c r="A5" i="5"/>
  <c r="A6" i="5"/>
  <c r="A2" i="5"/>
  <c r="B4" i="4"/>
  <c r="B3" i="4"/>
  <c r="B2" i="4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<sst xmlns="http://schemas.openxmlformats.org/spreadsheetml/2006/main" count="63" uniqueCount="48">
  <si>
    <t>Project_ID</t>
  </si>
  <si>
    <t>Activity</t>
  </si>
  <si>
    <t>Category</t>
  </si>
  <si>
    <t>Planned_Cost</t>
  </si>
  <si>
    <t>Actual_Cost</t>
  </si>
  <si>
    <t>Planned_Duration</t>
  </si>
  <si>
    <t>Actual_Duration</t>
  </si>
  <si>
    <t>Completion_Percentage</t>
  </si>
  <si>
    <t>Status</t>
  </si>
  <si>
    <t>Risk_Level</t>
  </si>
  <si>
    <t>P001</t>
  </si>
  <si>
    <t>Site Preparation</t>
  </si>
  <si>
    <t>Planning</t>
  </si>
  <si>
    <t>Completed</t>
  </si>
  <si>
    <t>Medium</t>
  </si>
  <si>
    <t>P002</t>
  </si>
  <si>
    <t>Foundation Work</t>
  </si>
  <si>
    <t>Construction</t>
  </si>
  <si>
    <t>In Progress</t>
  </si>
  <si>
    <t>High</t>
  </si>
  <si>
    <t>P003</t>
  </si>
  <si>
    <t>Structural Construction</t>
  </si>
  <si>
    <t>P004</t>
  </si>
  <si>
    <t>Electrical Installation</t>
  </si>
  <si>
    <t>Installation</t>
  </si>
  <si>
    <t>Not Started</t>
  </si>
  <si>
    <t>Low</t>
  </si>
  <si>
    <t>P005</t>
  </si>
  <si>
    <t>Plumbing Installation</t>
  </si>
  <si>
    <t>P006</t>
  </si>
  <si>
    <t>Interior Finishing</t>
  </si>
  <si>
    <t>Finishing</t>
  </si>
  <si>
    <t>P007</t>
  </si>
  <si>
    <t>Final Inspection</t>
  </si>
  <si>
    <t>Closing</t>
  </si>
  <si>
    <t>KPI</t>
  </si>
  <si>
    <t>Value</t>
  </si>
  <si>
    <t>Total Planned Budget</t>
  </si>
  <si>
    <t>Total Actual Cost</t>
  </si>
  <si>
    <t>Cost Variance</t>
  </si>
  <si>
    <t>Average Completion%</t>
  </si>
  <si>
    <t>Total Activities</t>
  </si>
  <si>
    <t>Completed Activities</t>
  </si>
  <si>
    <t>In Progress Activities</t>
  </si>
  <si>
    <t>Not Started Activities</t>
  </si>
  <si>
    <t>Count</t>
  </si>
  <si>
    <t>Planned Cost</t>
  </si>
  <si>
    <t>Annual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</si>
</sst>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10" fontId="0" fillId="0" borderId="0" xfId="0" applyNumberFormat="1"/>
    <xf numFmtId="9" fontId="0" fillId="0" borderId="0" xfId="43" applyFont="1"/>
    <xf numFmtId="0" fontId="18" fillId="0" borderId="0" xfId="0" applyFont="1" applyAlignment="1">
      <alignment horizontal="center"/>
    </xf>
    <xf numFmtId="44" fontId="0" fillId="0" borderId="0" xfId="42" applyFont="1"/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  <xf numFmtId="0" fontId="18" fillId="0" borderId="0" xfId="0" applyFont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Activity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Status_Summary!$B$1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Status_Summary!$A$2:$A$4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Status_Summary!$B$2:$B$4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5-40D6-8F39-D5D79FAC6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 vs Actual Cost by Activity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Cost_Analysis!$B$1</c:f>
              <c:strCache>
                <c:ptCount val="1"/>
                <c:pt idx="0">
                  <c:v>Planned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Cost_Analysis!$A$2:$A$8</c:f>
              <c:strCache>
                <c:ptCount val="7"/>
                <c:pt idx="0">
                  <c:v>Site Preparation</c:v>
                </c:pt>
                <c:pt idx="1">
                  <c:v>Foundation Work</c:v>
                </c:pt>
                <c:pt idx="2">
                  <c:v>Structural Construction</c:v>
                </c:pt>
                <c:pt idx="3">
                  <c:v>Electrical Installation</c:v>
                </c:pt>
                <c:pt idx="4">
                  <c:v>Plumbing Installation</c:v>
                </c:pt>
                <c:pt idx="5">
                  <c:v>Interior Finishing</c:v>
                </c:pt>
                <c:pt idx="6">
                  <c:v>Final Inspection</c:v>
                </c:pt>
              </c:strCache>
            </c:strRef>
          </c:cat>
          <c:val>
            <c:numRef>
              <c:f>Cost_Analysis!$B$2:$B$8</c:f>
              <c:numCache>
                <c:formatCode>_("$"* #,##0.00_);_("$"* \(#,##0.00\);_("$"* "-"??_);_(@_)</c:formatCode>
                <c:ptCount val="7"/>
                <c:pt idx="0">
                  <c:v>50000</c:v>
                </c:pt>
                <c:pt idx="1">
                  <c:v>150000</c:v>
                </c:pt>
                <c:pt idx="2">
                  <c:v>400000</c:v>
                </c:pt>
                <c:pt idx="3">
                  <c:v>80000</c:v>
                </c:pt>
                <c:pt idx="4">
                  <c:v>70000</c:v>
                </c:pt>
                <c:pt idx="5">
                  <c:v>200000</c:v>
                </c:pt>
                <c:pt idx="6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4-4855-8CBC-8F053032B8D5}"/>
            </c:ext>
          </c:extLst>
        </c:ser>
        <c:ser>
          <c:idx val="1"/>
          <c:order val="1"/>
          <c:tx>
            <c:strRef>
              <c:f>Cost_Analysis!$C$1</c:f>
              <c:strCache>
                <c:ptCount val="1"/>
                <c:pt idx="0">
                  <c:v>Annual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Cost_Analysis!$A$2:$A$8</c:f>
              <c:strCache>
                <c:ptCount val="7"/>
                <c:pt idx="0">
                  <c:v>Site Preparation</c:v>
                </c:pt>
                <c:pt idx="1">
                  <c:v>Foundation Work</c:v>
                </c:pt>
                <c:pt idx="2">
                  <c:v>Structural Construction</c:v>
                </c:pt>
                <c:pt idx="3">
                  <c:v>Electrical Installation</c:v>
                </c:pt>
                <c:pt idx="4">
                  <c:v>Plumbing Installation</c:v>
                </c:pt>
                <c:pt idx="5">
                  <c:v>Interior Finishing</c:v>
                </c:pt>
                <c:pt idx="6">
                  <c:v>Final Inspection</c:v>
                </c:pt>
              </c:strCache>
            </c:strRef>
          </c:cat>
          <c:val>
            <c:numRef>
              <c:f>Cost_Analysis!$C$2:$C$8</c:f>
              <c:numCache>
                <c:formatCode>_("$"* #,##0.00_);_("$"* \(#,##0.00\);_("$"* "-"??_);_(@_)</c:formatCode>
                <c:ptCount val="7"/>
                <c:pt idx="0">
                  <c:v>52000</c:v>
                </c:pt>
                <c:pt idx="1">
                  <c:v>165000</c:v>
                </c:pt>
                <c:pt idx="2">
                  <c:v>385000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B4-4855-8CBC-8F053032B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82639"/>
        <c:axId val="1364173135"/>
      </c:barChart>
      <c:catAx>
        <c:axId val="105298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173135"/>
        <c:crosses val="autoZero"/>
        <c:auto val="1"/>
        <c:lblAlgn val="ctr"/>
        <c:lblOffset val="100"/>
        <c:noMultiLvlLbl val="0"/>
      </c:catAx>
      <c:valAx>
        <c:axId val="136417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8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6</xdr:row>
      <xdr:rowOff>167640</xdr:rowOff>
    </xdr:from>
    <xdr:to>
      <xdr:col>15</xdr:col>
      <xdr:colOff>76200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21729E-3DBE-4AB8-A58F-1B20D5B9E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6</xdr:row>
      <xdr:rowOff>167640</xdr:rowOff>
    </xdr:from>
    <xdr:to>
      <xdr:col>12</xdr:col>
      <xdr:colOff>251460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679A42-7E07-49D4-BBED-BE4581FDB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C605-FCAD-4A1F-B116-568BA2C8D903}">
  <dimension ref="A1:J8"/>
  <sheetViews>
    <sheetView workbookViewId="0">
      <selection activeCell="H4" sqref="H4"/>
    </sheetView>
  </sheetViews>
  <sheetFormatPr defaultRowHeight="14.4" x14ac:dyDescent="0.3"/>
  <cols>
    <col min="1" max="1" width="16.44140625" customWidth="1"/>
    <col min="2" max="2" width="28.109375" customWidth="1"/>
    <col min="3" max="3" width="17.33203125" customWidth="1"/>
    <col min="4" max="4" width="17.33203125" style="1" customWidth="1"/>
    <col min="5" max="5" width="16.88671875" style="1" customWidth="1"/>
    <col min="6" max="6" width="16.88671875" customWidth="1"/>
    <col min="7" max="7" width="17.44140625" customWidth="1"/>
    <col min="8" max="8" width="21" style="2" customWidth="1"/>
    <col min="9" max="9" width="19.109375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50000</v>
      </c>
      <c r="E2" s="1">
        <v>52000</v>
      </c>
      <c r="F2">
        <v>30</v>
      </c>
      <c r="G2">
        <v>35</v>
      </c>
      <c r="H2" s="3">
        <v>100</v>
      </c>
      <c r="I2" t="s">
        <v>13</v>
      </c>
      <c r="J2" t="s">
        <v>14</v>
      </c>
    </row>
    <row r="3" spans="1:10" x14ac:dyDescent="0.3">
      <c r="A3" t="s">
        <v>15</v>
      </c>
      <c r="B3" t="s">
        <v>16</v>
      </c>
      <c r="C3" t="s">
        <v>17</v>
      </c>
      <c r="D3" s="1">
        <v>150000</v>
      </c>
      <c r="E3" s="1">
        <v>165000</v>
      </c>
      <c r="F3">
        <v>60</v>
      </c>
      <c r="G3">
        <v>70</v>
      </c>
      <c r="H3" s="3">
        <v>90</v>
      </c>
      <c r="I3" t="s">
        <v>18</v>
      </c>
      <c r="J3" t="s">
        <v>19</v>
      </c>
    </row>
    <row r="4" spans="1:10" x14ac:dyDescent="0.3">
      <c r="A4" t="s">
        <v>20</v>
      </c>
      <c r="B4" t="s">
        <v>21</v>
      </c>
      <c r="C4" t="s">
        <v>17</v>
      </c>
      <c r="D4" s="1">
        <v>400000</v>
      </c>
      <c r="E4" s="1">
        <v>385000</v>
      </c>
      <c r="F4">
        <v>120</v>
      </c>
      <c r="G4">
        <v>110</v>
      </c>
      <c r="H4" s="3">
        <v>75</v>
      </c>
      <c r="I4" t="s">
        <v>18</v>
      </c>
      <c r="J4" t="s">
        <v>14</v>
      </c>
    </row>
    <row r="5" spans="1:10" x14ac:dyDescent="0.3">
      <c r="A5" t="s">
        <v>22</v>
      </c>
      <c r="B5" t="s">
        <v>23</v>
      </c>
      <c r="C5" t="s">
        <v>24</v>
      </c>
      <c r="D5" s="1">
        <v>80000</v>
      </c>
      <c r="E5" s="1">
        <v>0</v>
      </c>
      <c r="F5">
        <v>45</v>
      </c>
      <c r="G5">
        <v>0</v>
      </c>
      <c r="H5" s="2">
        <v>0</v>
      </c>
      <c r="I5" t="s">
        <v>25</v>
      </c>
      <c r="J5" t="s">
        <v>26</v>
      </c>
    </row>
    <row r="6" spans="1:10" x14ac:dyDescent="0.3">
      <c r="A6" t="s">
        <v>27</v>
      </c>
      <c r="B6" t="s">
        <v>28</v>
      </c>
      <c r="C6" t="s">
        <v>24</v>
      </c>
      <c r="D6" s="1">
        <v>70000</v>
      </c>
      <c r="E6" s="1">
        <v>0</v>
      </c>
      <c r="F6">
        <v>40</v>
      </c>
      <c r="G6">
        <v>0</v>
      </c>
      <c r="H6" s="2">
        <v>0</v>
      </c>
      <c r="I6" t="s">
        <v>25</v>
      </c>
      <c r="J6" t="s">
        <v>26</v>
      </c>
    </row>
    <row r="7" spans="1:10" x14ac:dyDescent="0.3">
      <c r="A7" t="s">
        <v>29</v>
      </c>
      <c r="B7" t="s">
        <v>30</v>
      </c>
      <c r="C7" t="s">
        <v>31</v>
      </c>
      <c r="D7" s="1">
        <v>200000</v>
      </c>
      <c r="E7" s="1">
        <v>0</v>
      </c>
      <c r="F7">
        <v>90</v>
      </c>
      <c r="G7">
        <v>0</v>
      </c>
      <c r="H7" s="2">
        <v>0</v>
      </c>
      <c r="I7" t="s">
        <v>25</v>
      </c>
      <c r="J7" t="s">
        <v>14</v>
      </c>
    </row>
    <row r="8" spans="1:10" x14ac:dyDescent="0.3">
      <c r="A8" t="s">
        <v>32</v>
      </c>
      <c r="B8" t="s">
        <v>33</v>
      </c>
      <c r="C8" t="s">
        <v>34</v>
      </c>
      <c r="D8" s="1">
        <v>30000</v>
      </c>
      <c r="E8" s="1">
        <v>0</v>
      </c>
      <c r="F8">
        <v>15</v>
      </c>
      <c r="G8">
        <v>0</v>
      </c>
      <c r="H8" s="2">
        <v>0</v>
      </c>
      <c r="I8" t="s">
        <v>25</v>
      </c>
      <c r="J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EF21-9D07-44C3-8C6A-6490F11DA614}">
  <dimension ref="A1:B9"/>
  <sheetViews>
    <sheetView workbookViewId="0">
      <selection activeCell="D12" sqref="D12"/>
    </sheetView>
  </sheetViews>
  <sheetFormatPr defaultRowHeight="14.4" x14ac:dyDescent="0.3"/>
  <cols>
    <col min="1" max="1" width="25.109375" customWidth="1"/>
    <col min="2" max="2" width="15.21875" customWidth="1"/>
    <col min="3" max="3" width="18.44140625" bestFit="1" customWidth="1"/>
    <col min="4" max="4" width="15" bestFit="1" customWidth="1"/>
    <col min="5" max="5" width="12.21875" bestFit="1" customWidth="1"/>
    <col min="6" max="6" width="21.109375" customWidth="1"/>
    <col min="7" max="7" width="13.109375" bestFit="1" customWidth="1"/>
    <col min="8" max="9" width="17.88671875" bestFit="1" customWidth="1"/>
    <col min="10" max="10" width="18.44140625" bestFit="1" customWidth="1"/>
  </cols>
  <sheetData>
    <row r="1" spans="1:2" x14ac:dyDescent="0.3">
      <c r="A1" s="4" t="s">
        <v>35</v>
      </c>
      <c r="B1" s="4" t="s">
        <v>36</v>
      </c>
    </row>
    <row r="2" spans="1:2" x14ac:dyDescent="0.3">
      <c r="A2" t="s">
        <v>37</v>
      </c>
      <c r="B2" s="5">
        <f>SUM(Project_Data!D:D)</f>
        <v>980000</v>
      </c>
    </row>
    <row r="3" spans="1:2" x14ac:dyDescent="0.3">
      <c r="A3" t="s">
        <v>38</v>
      </c>
      <c r="B3" s="5">
        <f>SUM(Project_Data!E:E)</f>
        <v>602000</v>
      </c>
    </row>
    <row r="4" spans="1:2" x14ac:dyDescent="0.3">
      <c r="A4" t="s">
        <v>39</v>
      </c>
      <c r="B4" s="5">
        <f>B3-B2</f>
        <v>-378000</v>
      </c>
    </row>
    <row r="5" spans="1:2" x14ac:dyDescent="0.3">
      <c r="A5" t="s">
        <v>40</v>
      </c>
      <c r="B5" s="3">
        <f>AVERAGE(Project_Data!H:H)/100</f>
        <v>0.37857142857142856</v>
      </c>
    </row>
    <row r="6" spans="1:2" x14ac:dyDescent="0.3">
      <c r="A6" t="s">
        <v>41</v>
      </c>
      <c r="B6">
        <f>COUNTA(Project_Data!B:B)-1</f>
        <v>7</v>
      </c>
    </row>
    <row r="7" spans="1:2" x14ac:dyDescent="0.3">
      <c r="A7" t="s">
        <v>42</v>
      </c>
      <c r="B7">
        <f>COUNTIF(Project_Data!I:I,"Completed")</f>
        <v>1</v>
      </c>
    </row>
    <row r="8" spans="1:2" x14ac:dyDescent="0.3">
      <c r="A8" t="s">
        <v>43</v>
      </c>
      <c r="B8">
        <f>COUNTIF(Project_Data!I:I,"In Progress")</f>
        <v>2</v>
      </c>
    </row>
    <row r="9" spans="1:2" x14ac:dyDescent="0.3">
      <c r="A9" t="s">
        <v>44</v>
      </c>
      <c r="B9">
        <f>COUNTIF(Project_Data!I:I,"Not Started")</f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0CA4-8A92-4CD9-A6D3-F1A150D2DB9C}">
  <dimension ref="A1:B4"/>
  <sheetViews>
    <sheetView tabSelected="1" workbookViewId="0">
      <selection activeCell="M4" sqref="M4"/>
    </sheetView>
  </sheetViews>
  <sheetFormatPr defaultRowHeight="14.4" x14ac:dyDescent="0.3"/>
  <cols>
    <col min="1" max="1" width="11.109375" customWidth="1"/>
  </cols>
  <sheetData>
    <row r="1" spans="1:2" x14ac:dyDescent="0.3">
      <c r="A1" s="9" t="s">
        <v>8</v>
      </c>
      <c r="B1" s="9" t="s">
        <v>45</v>
      </c>
    </row>
    <row r="2" spans="1:2" x14ac:dyDescent="0.3">
      <c r="A2" s="6" t="s">
        <v>13</v>
      </c>
      <c r="B2" s="7">
        <f>COUNTIF(Project_Data!I:I,"Completed")</f>
        <v>1</v>
      </c>
    </row>
    <row r="3" spans="1:2" x14ac:dyDescent="0.3">
      <c r="A3" s="6" t="s">
        <v>18</v>
      </c>
      <c r="B3" s="6">
        <f>COUNTIF(Project_Data!I:I,"In Progress")</f>
        <v>2</v>
      </c>
    </row>
    <row r="4" spans="1:2" x14ac:dyDescent="0.3">
      <c r="A4" s="6" t="s">
        <v>25</v>
      </c>
      <c r="B4" s="6">
        <f>COUNTIF(Project_Data!I:I,"Not Started")</f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A134-A07E-4A55-AE06-7BF142D89CD4}">
  <dimension ref="A1:C9"/>
  <sheetViews>
    <sheetView workbookViewId="0">
      <selection activeCell="N5" sqref="N5"/>
    </sheetView>
  </sheetViews>
  <sheetFormatPr defaultRowHeight="14.4" x14ac:dyDescent="0.3"/>
  <cols>
    <col min="1" max="1" width="20" bestFit="1" customWidth="1"/>
    <col min="2" max="2" width="18.21875" customWidth="1"/>
    <col min="3" max="3" width="14.77734375" customWidth="1"/>
  </cols>
  <sheetData>
    <row r="1" spans="1:3" x14ac:dyDescent="0.3">
      <c r="A1" s="4" t="s">
        <v>1</v>
      </c>
      <c r="B1" s="4" t="s">
        <v>46</v>
      </c>
      <c r="C1" s="4" t="s">
        <v>47</v>
      </c>
    </row>
    <row r="2" spans="1:3" x14ac:dyDescent="0.3">
      <c r="A2" s="8" t="str">
        <f>Project_Data!B2</f>
        <v>Site Preparation</v>
      </c>
      <c r="B2" s="5">
        <f>Project_Data!D2</f>
        <v>50000</v>
      </c>
      <c r="C2" s="5">
        <f>Project_Data!E2</f>
        <v>52000</v>
      </c>
    </row>
    <row r="3" spans="1:3" x14ac:dyDescent="0.3">
      <c r="A3" s="8" t="str">
        <f>Project_Data!B3</f>
        <v>Foundation Work</v>
      </c>
      <c r="B3" s="5">
        <f>Project_Data!D3</f>
        <v>150000</v>
      </c>
      <c r="C3" s="5">
        <f>Project_Data!E3</f>
        <v>165000</v>
      </c>
    </row>
    <row r="4" spans="1:3" x14ac:dyDescent="0.3">
      <c r="A4" s="8" t="str">
        <f>Project_Data!B4</f>
        <v>Structural Construction</v>
      </c>
      <c r="B4" s="5">
        <f>Project_Data!D4</f>
        <v>400000</v>
      </c>
      <c r="C4" s="5">
        <f>Project_Data!E4</f>
        <v>385000</v>
      </c>
    </row>
    <row r="5" spans="1:3" x14ac:dyDescent="0.3">
      <c r="A5" s="8" t="str">
        <f>Project_Data!B5</f>
        <v>Electrical Installation</v>
      </c>
      <c r="B5" s="5">
        <f>Project_Data!D5</f>
        <v>80000</v>
      </c>
      <c r="C5" s="5">
        <f>Project_Data!E5</f>
        <v>0</v>
      </c>
    </row>
    <row r="6" spans="1:3" x14ac:dyDescent="0.3">
      <c r="A6" s="8" t="str">
        <f>Project_Data!B6</f>
        <v>Plumbing Installation</v>
      </c>
      <c r="B6" s="5">
        <f>Project_Data!D6</f>
        <v>70000</v>
      </c>
      <c r="C6" s="5">
        <f>Project_Data!E6</f>
        <v>0</v>
      </c>
    </row>
    <row r="7" spans="1:3" x14ac:dyDescent="0.3">
      <c r="A7" s="8" t="str">
        <f>Project_Data!B7</f>
        <v>Interior Finishing</v>
      </c>
      <c r="B7" s="5">
        <f>Project_Data!D7</f>
        <v>200000</v>
      </c>
      <c r="C7" s="5">
        <f>Project_Data!E7</f>
        <v>0</v>
      </c>
    </row>
    <row r="8" spans="1:3" x14ac:dyDescent="0.3">
      <c r="A8" s="8" t="str">
        <f>Project_Data!B8</f>
        <v>Final Inspection</v>
      </c>
      <c r="B8" s="5">
        <f>Project_Data!D8</f>
        <v>30000</v>
      </c>
      <c r="C8" s="5">
        <f>Project_Data!E8</f>
        <v>0</v>
      </c>
    </row>
    <row r="9" spans="1:3" x14ac:dyDescent="0.3">
      <c r="A9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Project_Data</vt:lpstr>
      <vt:lpstr>KPI_Summary</vt:lpstr>
      <vt:lpstr>Status_Summary</vt:lpstr>
      <vt:lpstr>Cost_Analysis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Meron Gebremichal</dc:creator>
  <cp:keywords/>
  <dc:description/>
  <cp:lastModifiedBy>Meron Gebremichal</cp:lastModifiedBy>
  <cp:revision/>
  <dcterms:created xsi:type="dcterms:W3CDTF">2026-07-30T23:34:50Z</dcterms:created>
  <dcterms:modified xsi:type="dcterms:W3CDTF">2026-08-01T00:41:11Z</dcterms:modified>
  <cp:category/>
  <cp:contentStatus/>
</cp:coreProperties>
</file>